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Product_Category" sheetId="2" r:id="rId6"/>
    <sheet state="visible" name="City_Region" sheetId="3" r:id="rId7"/>
    <sheet state="visible" name="Revenue_City_Pivot" sheetId="4" r:id="rId8"/>
    <sheet state="visible" name="Product_Performance_Pivot" sheetId="5" r:id="rId9"/>
    <sheet state="visible" name="Revenue_Region_Pivot" sheetId="6" r:id="rId10"/>
    <sheet state="visible" name="D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<sst xmlns="http://schemas.openxmlformats.org/spreadsheetml/2006/main" count="142" uniqueCount="47">
  <si>
    <t>Order_ID</t>
  </si>
  <si>
    <t>Product</t>
  </si>
  <si>
    <t>City</t>
  </si>
  <si>
    <t>Revenue</t>
  </si>
  <si>
    <t>Category</t>
  </si>
  <si>
    <t>Region</t>
  </si>
  <si>
    <t>Laptop</t>
  </si>
  <si>
    <t>Mumbai</t>
  </si>
  <si>
    <t>Mouse</t>
  </si>
  <si>
    <t>Pune</t>
  </si>
  <si>
    <t>Keyboard</t>
  </si>
  <si>
    <t>Delhi</t>
  </si>
  <si>
    <t>Monitor</t>
  </si>
  <si>
    <t>Bangalore</t>
  </si>
  <si>
    <t>SSD</t>
  </si>
  <si>
    <t>Hyderabad</t>
  </si>
  <si>
    <t>Webcam</t>
  </si>
  <si>
    <t>Headphones</t>
  </si>
  <si>
    <t>Printer</t>
  </si>
  <si>
    <t>Electronics</t>
  </si>
  <si>
    <t>Accessories</t>
  </si>
  <si>
    <t>Storage</t>
  </si>
  <si>
    <t>West</t>
  </si>
  <si>
    <t>North</t>
  </si>
  <si>
    <t>South</t>
  </si>
  <si>
    <t>SUM of Revenue</t>
  </si>
  <si>
    <t>Grand Total</t>
  </si>
  <si>
    <t>Business Insights</t>
  </si>
  <si>
    <t>1. Pune generated the highest revenue among all cities.</t>
  </si>
  <si>
    <t>2. Hyderabad generated the lowest revenue among all cities.</t>
  </si>
  <si>
    <t>3. Revenue is fairly distributed across cities.</t>
  </si>
  <si>
    <t>4. Total revenue was ₹432,200 from 30 orders.</t>
  </si>
  <si>
    <t>5. The company operates across 5 cities.</t>
  </si>
  <si>
    <t>1. Laptop generated highest revenue.</t>
  </si>
  <si>
    <t>2. Mouse generated lowest revenue.</t>
  </si>
  <si>
    <t>3. Electronics contribute most revenue.</t>
  </si>
  <si>
    <t>4. Revenue is concentrated in Laptop sales.</t>
  </si>
  <si>
    <t>Insights</t>
  </si>
  <si>
    <t>- West region generated highest revenue.</t>
  </si>
  <si>
    <t>- North region generated lowest revenue.</t>
  </si>
  <si>
    <t>- West contributes nearly 50% of total revenue.</t>
  </si>
  <si>
    <t>Total Revenue</t>
  </si>
  <si>
    <t>Total Orders</t>
  </si>
  <si>
    <t>Total Cities</t>
  </si>
  <si>
    <t>REVENUE BY CITY</t>
  </si>
  <si>
    <t>REVENUE BY PRODUCT</t>
  </si>
  <si>
    <t>REVENUE BY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</si>
</sst>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sz val="12.0"/>
      <color theme="1"/>
      <name val="Arial"/>
      <scheme val="minor"/>
    </font>
    <font/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2" fillId="0" fontId="5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Revenue_City_Pivot!$B$1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Revenue_City_Pivot!$A$2:$A$7</c:f>
            </c:strRef>
          </c:cat>
          <c:val>
            <c:numRef>
              <c:f>Revenue_City_Pivot!$B$2:$B$7</c:f>
              <c:numCache/>
            </c:numRef>
          </c:val>
        </c:ser>
        <c:axId val="1401268477"/>
        <c:axId val="1430775780"/>
      </c:barChart>
      <c:catAx>
        <c:axId val="1401268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775780"/>
      </c:catAx>
      <c:valAx>
        <c:axId val="1430775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268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Revenue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Revenue_City_Pivot!$B$1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Revenue_City_Pivot!$A$2:$A$6</c:f>
            </c:strRef>
          </c:cat>
          <c:val>
            <c:numRef>
              <c:f>Revenue_City_Pivot!$B$2:$B$6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Product_Performance_Pivot!$B$1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Product_Performance_Pivot!$A$2:$A$9</c:f>
            </c:strRef>
          </c:cat>
          <c:val>
            <c:numRef>
              <c:f>Product_Performance_Pivot!$B$2:$B$9</c:f>
              <c:numCache/>
            </c:numRef>
          </c:val>
        </c:ser>
        <c:axId val="830699201"/>
        <c:axId val="306757113"/>
      </c:barChart>
      <c:catAx>
        <c:axId val="830699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6757113"/>
      </c:catAx>
      <c:valAx>
        <c:axId val="306757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699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Revenue_Region_Pivot!$B$1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Revenue_Region_Pivot!$A$2:$A$4</c:f>
            </c:strRef>
          </c:cat>
          <c:val>
            <c:numRef>
              <c:f>Revenue_Region_Pivot!$B$2:$B$4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Revenue_City_Pivot!$B$1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Revenue_City_Pivot!$A$2:$A$7</c:f>
            </c:strRef>
          </c:cat>
          <c:val>
            <c:numRef>
              <c:f>Revenue_City_Pivot!$B$2:$B$7</c:f>
              <c:numCache/>
            </c:numRef>
          </c:val>
        </c:ser>
        <c:axId val="1149546018"/>
        <c:axId val="849952269"/>
      </c:barChart>
      <c:catAx>
        <c:axId val="1149546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952269"/>
      </c:catAx>
      <c:valAx>
        <c:axId val="849952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546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Revenue_City_Pivot!$B$1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Revenue_City_Pivot!$A$2:$A$6</c:f>
            </c:strRef>
          </c:cat>
          <c:val>
            <c:numRef>
              <c:f>Revenue_City_Pivot!$B$2:$B$6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product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Product_Performance_Pivot!$B$1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Product_Performance_Pivot!$A$2:$A$9</c:f>
            </c:strRef>
          </c:cat>
          <c:val>
            <c:numRef>
              <c:f>Product_Performance_Pivot!$B$2:$B$9</c:f>
              <c:numCache/>
            </c:numRef>
          </c:val>
        </c:ser>
        <c:axId val="1228758013"/>
        <c:axId val="530318172"/>
      </c:barChart>
      <c:catAx>
        <c:axId val="1228758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0318172"/>
      </c:catAx>
      <c:valAx>
        <c:axId val="530318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758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Revenue_Region_Pivot!$B$1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Revenue_Region_Pivot!$A$2:$A$4</c:f>
            </c:strRef>
          </c:cat>
          <c:val>
            <c:numRef>
              <c:f>Revenue_Region_Pivot!$B$2:$B$4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8</xdr:row>
      <xdr:rowOff>28575</xdr:rowOff>
    </xdr:from>
    <xdr:ext cx="4619625" cy="1685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0</xdr:row>
      <xdr:rowOff>85725</xdr:rowOff>
    </xdr:from>
    <xdr:ext cx="3286125" cy="1438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723900</xdr:colOff>
      <xdr:row>0</xdr:row>
      <xdr:rowOff>190500</xdr:rowOff>
    </xdr:from>
    <xdr:ext cx="5210175" cy="2162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9</xdr:row>
      <xdr:rowOff>190500</xdr:rowOff>
    </xdr:from>
    <xdr:ext cx="4819650" cy="2114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190500</xdr:rowOff>
    </xdr:from>
    <xdr:ext cx="3286125" cy="14382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180975</xdr:colOff>
      <xdr:row>9</xdr:row>
      <xdr:rowOff>190500</xdr:rowOff>
    </xdr:from>
    <xdr:ext cx="4276725" cy="2933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9525</xdr:colOff>
      <xdr:row>9</xdr:row>
      <xdr:rowOff>190500</xdr:rowOff>
    </xdr:from>
    <xdr:ext cx="4152900" cy="21621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1" sheet="Orders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</sharedItems>
    </cacheField>
    <cacheField name="Product" numFmtId="0">
      <sharedItems>
        <s v="Laptop"/>
        <s v="Mouse"/>
        <s v="Keyboard"/>
        <s v="Monitor"/>
        <s v="SSD"/>
        <s v="Webcam"/>
        <s v="Headphones"/>
        <s v="Printer"/>
      </sharedItems>
    </cacheField>
    <cacheField name="City" numFmtId="0">
      <sharedItems>
        <s v="Mumbai"/>
        <s v="Pune"/>
        <s v="Delhi"/>
        <s v="Bangalore"/>
        <s v="Hyderabad"/>
      </sharedItems>
    </cacheField>
    <cacheField name="Revenue" numFmtId="0">
      <sharedItems containsSemiMixedTypes="0" containsString="0" containsNumber="1" containsInteger="1">
        <n v="55000.0"/>
        <n v="900.0"/>
        <n v="1800.0"/>
        <n v="15000.0"/>
        <n v="4500.0"/>
        <n v="52000.0"/>
        <n v="3000.0"/>
        <n v="2500.0"/>
        <n v="12000.0"/>
        <n v="800.0"/>
        <n v="5000.0"/>
        <n v="18000.0"/>
        <n v="60000.0"/>
        <n v="2200.0"/>
        <n v="3500.0"/>
        <n v="14000.0"/>
        <n v="2800.0"/>
        <n v="4200.0"/>
        <n v="58000.0"/>
        <n v="950.0"/>
        <n v="17000.0"/>
        <n v="1600.0"/>
        <n v="3200.0"/>
        <n v="13500.0"/>
        <n v="4800.0"/>
        <n v="2600.0"/>
        <n v="54000.0"/>
        <n v="16500.0"/>
        <n v="850.0"/>
        <n v="2000.0"/>
      </sharedItems>
    </cacheField>
    <cacheField name="Category" numFmtId="0">
      <sharedItems>
        <s v="Electronics"/>
        <s v="Accessories"/>
        <s v="Storage"/>
      </sharedItems>
    </cacheField>
    <cacheField name="Region" numFmtId="0">
      <sharedItems>
        <s v="West"/>
        <s v="North"/>
        <s v="Sout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_City_Pivot" cacheId="0" dataCaption="" compact="0" compactData="0">
  <location ref="A1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Revenue" fld="3" baseField="0"/>
  </dataFields>
</pivotTableDefinition>
</file>

<file path=xl/pivotTables/pivotTable2.xml><?xml version="1.0" encoding="utf-8"?>
<pivotTableDefinition xmlns="http://schemas.openxmlformats.org/spreadsheetml/2006/main" name="Product_Performance_Pivot" cacheId="0" dataCaption="" compact="0" compactData="0">
  <location ref="A1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Revenue" fld="3" baseField="0"/>
  </dataFields>
</pivotTableDefinition>
</file>

<file path=xl/pivotTables/pivotTable3.xml><?xml version="1.0" encoding="utf-8"?>
<pivotTableDefinition xmlns="http://schemas.openxmlformats.org/spreadsheetml/2006/main" name="Revenue_Region_Pivot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descending">
      <items>
        <item x="0"/>
        <item x="2"/>
        <item x="1"/>
        <item t="default"/>
      </items>
    </pivotField>
  </pivotFields>
  <rowFields>
    <field x="5"/>
  </rowFields>
  <dataFields>
    <dataField name="SUM of Revenu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>
      <c r="A2" s="3">
        <v>1001.0</v>
      </c>
      <c r="B2" s="3" t="s">
        <v>6</v>
      </c>
      <c r="C2" s="3" t="s">
        <v>7</v>
      </c>
      <c r="D2" s="4">
        <v>55000.0</v>
      </c>
      <c r="E2" s="5" t="str">
        <f>VLOOKUP(B2,Product_Category!A:B,2,FALSE)</f>
        <v>Electronics</v>
      </c>
      <c r="F2" s="5" t="str">
        <f>VLOOKUP(C2,City_Region!A:B,2,FALSE)</f>
        <v>West</v>
      </c>
    </row>
    <row r="3">
      <c r="A3" s="3">
        <v>1002.0</v>
      </c>
      <c r="B3" s="3" t="s">
        <v>8</v>
      </c>
      <c r="C3" s="3" t="s">
        <v>9</v>
      </c>
      <c r="D3" s="4">
        <v>900.0</v>
      </c>
      <c r="E3" s="5" t="str">
        <f>VLOOKUP(B3,Product_Category!A:B,2,FALSE)</f>
        <v>Accessories</v>
      </c>
      <c r="F3" s="5" t="str">
        <f>VLOOKUP(C3,City_Region!A:B,2,FALSE)</f>
        <v>West</v>
      </c>
    </row>
    <row r="4">
      <c r="A4" s="3">
        <v>1003.0</v>
      </c>
      <c r="B4" s="3" t="s">
        <v>10</v>
      </c>
      <c r="C4" s="3" t="s">
        <v>11</v>
      </c>
      <c r="D4" s="4">
        <v>1800.0</v>
      </c>
      <c r="E4" s="5" t="str">
        <f>VLOOKUP(B4,Product_Category!A:B,2,FALSE)</f>
        <v>Accessories</v>
      </c>
      <c r="F4" s="5" t="str">
        <f>VLOOKUP(C4,City_Region!A:B,2,FALSE)</f>
        <v>North</v>
      </c>
    </row>
    <row r="5">
      <c r="A5" s="3">
        <v>1004.0</v>
      </c>
      <c r="B5" s="3" t="s">
        <v>12</v>
      </c>
      <c r="C5" s="3" t="s">
        <v>13</v>
      </c>
      <c r="D5" s="4">
        <v>15000.0</v>
      </c>
      <c r="E5" s="5" t="str">
        <f>VLOOKUP(B5,Product_Category!A:B,2,FALSE)</f>
        <v>Electronics</v>
      </c>
      <c r="F5" s="5" t="str">
        <f>VLOOKUP(C5,City_Region!A:B,2,FALSE)</f>
        <v>South</v>
      </c>
    </row>
    <row r="6">
      <c r="A6" s="3">
        <v>1005.0</v>
      </c>
      <c r="B6" s="3" t="s">
        <v>14</v>
      </c>
      <c r="C6" s="3" t="s">
        <v>15</v>
      </c>
      <c r="D6" s="4">
        <v>4500.0</v>
      </c>
      <c r="E6" s="5" t="str">
        <f>VLOOKUP(B6,Product_Category!A:B,2,FALSE)</f>
        <v>Storage</v>
      </c>
      <c r="F6" s="5" t="str">
        <f>VLOOKUP(C6,City_Region!A:B,2,FALSE)</f>
        <v>South</v>
      </c>
    </row>
    <row r="7">
      <c r="A7" s="3">
        <v>1006.0</v>
      </c>
      <c r="B7" s="3" t="s">
        <v>6</v>
      </c>
      <c r="C7" s="3" t="s">
        <v>9</v>
      </c>
      <c r="D7" s="4">
        <v>52000.0</v>
      </c>
      <c r="E7" s="5" t="str">
        <f>VLOOKUP(B7,Product_Category!A:B,2,FALSE)</f>
        <v>Electronics</v>
      </c>
      <c r="F7" s="5" t="str">
        <f>VLOOKUP(C7,City_Region!A:B,2,FALSE)</f>
        <v>West</v>
      </c>
    </row>
    <row r="8">
      <c r="A8" s="3">
        <v>1007.0</v>
      </c>
      <c r="B8" s="3" t="s">
        <v>16</v>
      </c>
      <c r="C8" s="3" t="s">
        <v>7</v>
      </c>
      <c r="D8" s="4">
        <v>3000.0</v>
      </c>
      <c r="E8" s="5" t="str">
        <f>VLOOKUP(B8,Product_Category!A:B,2,FALSE)</f>
        <v>Accessories</v>
      </c>
      <c r="F8" s="5" t="str">
        <f>VLOOKUP(C8,City_Region!A:B,2,FALSE)</f>
        <v>West</v>
      </c>
    </row>
    <row r="9">
      <c r="A9" s="3">
        <v>1008.0</v>
      </c>
      <c r="B9" s="3" t="s">
        <v>17</v>
      </c>
      <c r="C9" s="3" t="s">
        <v>11</v>
      </c>
      <c r="D9" s="4">
        <v>2500.0</v>
      </c>
      <c r="E9" s="5" t="str">
        <f>VLOOKUP(B9,Product_Category!A:B,2,FALSE)</f>
        <v>Accessories</v>
      </c>
      <c r="F9" s="5" t="str">
        <f>VLOOKUP(C9,City_Region!A:B,2,FALSE)</f>
        <v>North</v>
      </c>
    </row>
    <row r="10">
      <c r="A10" s="3">
        <v>1009.0</v>
      </c>
      <c r="B10" s="3" t="s">
        <v>18</v>
      </c>
      <c r="C10" s="3" t="s">
        <v>13</v>
      </c>
      <c r="D10" s="4">
        <v>12000.0</v>
      </c>
      <c r="E10" s="5" t="str">
        <f>VLOOKUP(B10,Product_Category!A:B,2,FALSE)</f>
        <v>Electronics</v>
      </c>
      <c r="F10" s="5" t="str">
        <f>VLOOKUP(C10,City_Region!A:B,2,FALSE)</f>
        <v>South</v>
      </c>
    </row>
    <row r="11">
      <c r="A11" s="3">
        <v>1010.0</v>
      </c>
      <c r="B11" s="3" t="s">
        <v>8</v>
      </c>
      <c r="C11" s="3" t="s">
        <v>15</v>
      </c>
      <c r="D11" s="4">
        <v>800.0</v>
      </c>
      <c r="E11" s="5" t="str">
        <f>VLOOKUP(B11,Product_Category!A:B,2,FALSE)</f>
        <v>Accessories</v>
      </c>
      <c r="F11" s="5" t="str">
        <f>VLOOKUP(C11,City_Region!A:B,2,FALSE)</f>
        <v>South</v>
      </c>
    </row>
    <row r="12">
      <c r="A12" s="3">
        <v>1011.0</v>
      </c>
      <c r="B12" s="3" t="s">
        <v>14</v>
      </c>
      <c r="C12" s="3" t="s">
        <v>7</v>
      </c>
      <c r="D12" s="4">
        <v>5000.0</v>
      </c>
      <c r="E12" s="5" t="str">
        <f>VLOOKUP(B12,Product_Category!A:B,2,FALSE)</f>
        <v>Storage</v>
      </c>
      <c r="F12" s="5" t="str">
        <f>VLOOKUP(C12,City_Region!A:B,2,FALSE)</f>
        <v>West</v>
      </c>
    </row>
    <row r="13">
      <c r="A13" s="3">
        <v>1012.0</v>
      </c>
      <c r="B13" s="3" t="s">
        <v>12</v>
      </c>
      <c r="C13" s="3" t="s">
        <v>9</v>
      </c>
      <c r="D13" s="4">
        <v>18000.0</v>
      </c>
      <c r="E13" s="5" t="str">
        <f>VLOOKUP(B13,Product_Category!A:B,2,FALSE)</f>
        <v>Electronics</v>
      </c>
      <c r="F13" s="5" t="str">
        <f>VLOOKUP(C13,City_Region!A:B,2,FALSE)</f>
        <v>West</v>
      </c>
    </row>
    <row r="14">
      <c r="A14" s="3">
        <v>1013.0</v>
      </c>
      <c r="B14" s="3" t="s">
        <v>6</v>
      </c>
      <c r="C14" s="3" t="s">
        <v>11</v>
      </c>
      <c r="D14" s="4">
        <v>60000.0</v>
      </c>
      <c r="E14" s="5" t="str">
        <f>VLOOKUP(B14,Product_Category!A:B,2,FALSE)</f>
        <v>Electronics</v>
      </c>
      <c r="F14" s="5" t="str">
        <f>VLOOKUP(C14,City_Region!A:B,2,FALSE)</f>
        <v>North</v>
      </c>
    </row>
    <row r="15">
      <c r="A15" s="3">
        <v>1014.0</v>
      </c>
      <c r="B15" s="3" t="s">
        <v>10</v>
      </c>
      <c r="C15" s="3" t="s">
        <v>13</v>
      </c>
      <c r="D15" s="4">
        <v>2200.0</v>
      </c>
      <c r="E15" s="5" t="str">
        <f>VLOOKUP(B15,Product_Category!A:B,2,FALSE)</f>
        <v>Accessories</v>
      </c>
      <c r="F15" s="5" t="str">
        <f>VLOOKUP(C15,City_Region!A:B,2,FALSE)</f>
        <v>South</v>
      </c>
    </row>
    <row r="16">
      <c r="A16" s="3">
        <v>1015.0</v>
      </c>
      <c r="B16" s="3" t="s">
        <v>16</v>
      </c>
      <c r="C16" s="3" t="s">
        <v>15</v>
      </c>
      <c r="D16" s="4">
        <v>3500.0</v>
      </c>
      <c r="E16" s="5" t="str">
        <f>VLOOKUP(B16,Product_Category!A:B,2,FALSE)</f>
        <v>Accessories</v>
      </c>
      <c r="F16" s="5" t="str">
        <f>VLOOKUP(C16,City_Region!A:B,2,FALSE)</f>
        <v>South</v>
      </c>
    </row>
    <row r="17">
      <c r="A17" s="3">
        <v>1016.0</v>
      </c>
      <c r="B17" s="3" t="s">
        <v>18</v>
      </c>
      <c r="C17" s="3" t="s">
        <v>7</v>
      </c>
      <c r="D17" s="4">
        <v>14000.0</v>
      </c>
      <c r="E17" s="5" t="str">
        <f>VLOOKUP(B17,Product_Category!A:B,2,FALSE)</f>
        <v>Electronics</v>
      </c>
      <c r="F17" s="5" t="str">
        <f>VLOOKUP(C17,City_Region!A:B,2,FALSE)</f>
        <v>West</v>
      </c>
    </row>
    <row r="18">
      <c r="A18" s="3">
        <v>1017.0</v>
      </c>
      <c r="B18" s="3" t="s">
        <v>17</v>
      </c>
      <c r="C18" s="3" t="s">
        <v>9</v>
      </c>
      <c r="D18" s="4">
        <v>2800.0</v>
      </c>
      <c r="E18" s="5" t="str">
        <f>VLOOKUP(B18,Product_Category!A:B,2,FALSE)</f>
        <v>Accessories</v>
      </c>
      <c r="F18" s="5" t="str">
        <f>VLOOKUP(C18,City_Region!A:B,2,FALSE)</f>
        <v>West</v>
      </c>
    </row>
    <row r="19">
      <c r="A19" s="3">
        <v>1018.0</v>
      </c>
      <c r="B19" s="3" t="s">
        <v>14</v>
      </c>
      <c r="C19" s="3" t="s">
        <v>11</v>
      </c>
      <c r="D19" s="4">
        <v>4200.0</v>
      </c>
      <c r="E19" s="5" t="str">
        <f>VLOOKUP(B19,Product_Category!A:B,2,FALSE)</f>
        <v>Storage</v>
      </c>
      <c r="F19" s="5" t="str">
        <f>VLOOKUP(C19,City_Region!A:B,2,FALSE)</f>
        <v>North</v>
      </c>
    </row>
    <row r="20">
      <c r="A20" s="3">
        <v>1019.0</v>
      </c>
      <c r="B20" s="3" t="s">
        <v>6</v>
      </c>
      <c r="C20" s="3" t="s">
        <v>13</v>
      </c>
      <c r="D20" s="4">
        <v>58000.0</v>
      </c>
      <c r="E20" s="5" t="str">
        <f>VLOOKUP(B20,Product_Category!A:B,2,FALSE)</f>
        <v>Electronics</v>
      </c>
      <c r="F20" s="5" t="str">
        <f>VLOOKUP(C20,City_Region!A:B,2,FALSE)</f>
        <v>South</v>
      </c>
    </row>
    <row r="21">
      <c r="A21" s="3">
        <v>1020.0</v>
      </c>
      <c r="B21" s="3" t="s">
        <v>8</v>
      </c>
      <c r="C21" s="3" t="s">
        <v>7</v>
      </c>
      <c r="D21" s="4">
        <v>950.0</v>
      </c>
      <c r="E21" s="5" t="str">
        <f>VLOOKUP(B21,Product_Category!A:B,2,FALSE)</f>
        <v>Accessories</v>
      </c>
      <c r="F21" s="5" t="str">
        <f>VLOOKUP(C21,City_Region!A:B,2,FALSE)</f>
        <v>West</v>
      </c>
    </row>
    <row r="22">
      <c r="A22" s="3">
        <v>1021.0</v>
      </c>
      <c r="B22" s="3" t="s">
        <v>12</v>
      </c>
      <c r="C22" s="3" t="s">
        <v>15</v>
      </c>
      <c r="D22" s="4">
        <v>17000.0</v>
      </c>
      <c r="E22" s="5" t="str">
        <f>VLOOKUP(B22,Product_Category!A:B,2,FALSE)</f>
        <v>Electronics</v>
      </c>
      <c r="F22" s="5" t="str">
        <f>VLOOKUP(C22,City_Region!A:B,2,FALSE)</f>
        <v>South</v>
      </c>
    </row>
    <row r="23">
      <c r="A23" s="3">
        <v>1022.0</v>
      </c>
      <c r="B23" s="3" t="s">
        <v>10</v>
      </c>
      <c r="C23" s="3" t="s">
        <v>9</v>
      </c>
      <c r="D23" s="4">
        <v>1600.0</v>
      </c>
      <c r="E23" s="5" t="str">
        <f>VLOOKUP(B23,Product_Category!A:B,2,FALSE)</f>
        <v>Accessories</v>
      </c>
      <c r="F23" s="5" t="str">
        <f>VLOOKUP(C23,City_Region!A:B,2,FALSE)</f>
        <v>West</v>
      </c>
    </row>
    <row r="24">
      <c r="A24" s="3">
        <v>1023.0</v>
      </c>
      <c r="B24" s="3" t="s">
        <v>16</v>
      </c>
      <c r="C24" s="3" t="s">
        <v>11</v>
      </c>
      <c r="D24" s="4">
        <v>3200.0</v>
      </c>
      <c r="E24" s="5" t="str">
        <f>VLOOKUP(B24,Product_Category!A:B,2,FALSE)</f>
        <v>Accessories</v>
      </c>
      <c r="F24" s="5" t="str">
        <f>VLOOKUP(C24,City_Region!A:B,2,FALSE)</f>
        <v>North</v>
      </c>
    </row>
    <row r="25">
      <c r="A25" s="3">
        <v>1024.0</v>
      </c>
      <c r="B25" s="3" t="s">
        <v>18</v>
      </c>
      <c r="C25" s="3" t="s">
        <v>13</v>
      </c>
      <c r="D25" s="4">
        <v>13500.0</v>
      </c>
      <c r="E25" s="5" t="str">
        <f>VLOOKUP(B25,Product_Category!A:B,2,FALSE)</f>
        <v>Electronics</v>
      </c>
      <c r="F25" s="5" t="str">
        <f>VLOOKUP(C25,City_Region!A:B,2,FALSE)</f>
        <v>South</v>
      </c>
    </row>
    <row r="26">
      <c r="A26" s="3">
        <v>1025.0</v>
      </c>
      <c r="B26" s="3" t="s">
        <v>14</v>
      </c>
      <c r="C26" s="3" t="s">
        <v>7</v>
      </c>
      <c r="D26" s="4">
        <v>4800.0</v>
      </c>
      <c r="E26" s="5" t="str">
        <f>VLOOKUP(B26,Product_Category!A:B,2,FALSE)</f>
        <v>Storage</v>
      </c>
      <c r="F26" s="5" t="str">
        <f>VLOOKUP(C26,City_Region!A:B,2,FALSE)</f>
        <v>West</v>
      </c>
    </row>
    <row r="27">
      <c r="A27" s="3">
        <v>1026.0</v>
      </c>
      <c r="B27" s="3" t="s">
        <v>17</v>
      </c>
      <c r="C27" s="3" t="s">
        <v>15</v>
      </c>
      <c r="D27" s="4">
        <v>2600.0</v>
      </c>
      <c r="E27" s="5" t="str">
        <f>VLOOKUP(B27,Product_Category!A:B,2,FALSE)</f>
        <v>Accessories</v>
      </c>
      <c r="F27" s="5" t="str">
        <f>VLOOKUP(C27,City_Region!A:B,2,FALSE)</f>
        <v>South</v>
      </c>
    </row>
    <row r="28">
      <c r="A28" s="3">
        <v>1027.0</v>
      </c>
      <c r="B28" s="3" t="s">
        <v>6</v>
      </c>
      <c r="C28" s="3" t="s">
        <v>9</v>
      </c>
      <c r="D28" s="4">
        <v>54000.0</v>
      </c>
      <c r="E28" s="5" t="str">
        <f>VLOOKUP(B28,Product_Category!A:B,2,FALSE)</f>
        <v>Electronics</v>
      </c>
      <c r="F28" s="5" t="str">
        <f>VLOOKUP(C28,City_Region!A:B,2,FALSE)</f>
        <v>West</v>
      </c>
    </row>
    <row r="29">
      <c r="A29" s="3">
        <v>1028.0</v>
      </c>
      <c r="B29" s="3" t="s">
        <v>12</v>
      </c>
      <c r="C29" s="3" t="s">
        <v>11</v>
      </c>
      <c r="D29" s="4">
        <v>16500.0</v>
      </c>
      <c r="E29" s="5" t="str">
        <f>VLOOKUP(B29,Product_Category!A:B,2,FALSE)</f>
        <v>Electronics</v>
      </c>
      <c r="F29" s="5" t="str">
        <f>VLOOKUP(C29,City_Region!A:B,2,FALSE)</f>
        <v>North</v>
      </c>
    </row>
    <row r="30">
      <c r="A30" s="3">
        <v>1029.0</v>
      </c>
      <c r="B30" s="3" t="s">
        <v>8</v>
      </c>
      <c r="C30" s="3" t="s">
        <v>13</v>
      </c>
      <c r="D30" s="4">
        <v>850.0</v>
      </c>
      <c r="E30" s="5" t="str">
        <f>VLOOKUP(B30,Product_Category!A:B,2,FALSE)</f>
        <v>Accessories</v>
      </c>
      <c r="F30" s="5" t="str">
        <f>VLOOKUP(C30,City_Region!A:B,2,FALSE)</f>
        <v>South</v>
      </c>
    </row>
    <row r="31">
      <c r="A31" s="3">
        <v>1030.0</v>
      </c>
      <c r="B31" s="3" t="s">
        <v>10</v>
      </c>
      <c r="C31" s="3" t="s">
        <v>7</v>
      </c>
      <c r="D31" s="4">
        <v>2000.0</v>
      </c>
      <c r="E31" s="5" t="str">
        <f>VLOOKUP(B31,Product_Category!A:B,2,FALSE)</f>
        <v>Accessories</v>
      </c>
      <c r="F31" s="5" t="str">
        <f>VLOOKUP(C31,City_Region!A:B,2,FALSE)</f>
        <v>West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</row>
    <row r="2">
      <c r="A2" s="3" t="s">
        <v>6</v>
      </c>
      <c r="B2" s="3" t="s">
        <v>19</v>
      </c>
    </row>
    <row r="3">
      <c r="A3" s="3" t="s">
        <v>8</v>
      </c>
      <c r="B3" s="3" t="s">
        <v>20</v>
      </c>
    </row>
    <row r="4">
      <c r="A4" s="3" t="s">
        <v>10</v>
      </c>
      <c r="B4" s="3" t="s">
        <v>20</v>
      </c>
    </row>
    <row r="5">
      <c r="A5" s="3" t="s">
        <v>12</v>
      </c>
      <c r="B5" s="3" t="s">
        <v>19</v>
      </c>
    </row>
    <row r="6">
      <c r="A6" s="3" t="s">
        <v>14</v>
      </c>
      <c r="B6" s="3" t="s">
        <v>21</v>
      </c>
    </row>
    <row r="7">
      <c r="A7" s="3" t="s">
        <v>16</v>
      </c>
      <c r="B7" s="3" t="s">
        <v>20</v>
      </c>
    </row>
    <row r="8">
      <c r="A8" s="3" t="s">
        <v>17</v>
      </c>
      <c r="B8" s="3" t="s">
        <v>20</v>
      </c>
    </row>
    <row r="9">
      <c r="A9" s="3" t="s">
        <v>18</v>
      </c>
      <c r="B9" s="3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</row>
    <row r="2">
      <c r="A2" s="3" t="s">
        <v>7</v>
      </c>
      <c r="B2" s="3" t="s">
        <v>22</v>
      </c>
    </row>
    <row r="3">
      <c r="A3" s="3" t="s">
        <v>9</v>
      </c>
      <c r="B3" s="3" t="s">
        <v>22</v>
      </c>
    </row>
    <row r="4">
      <c r="A4" s="3" t="s">
        <v>11</v>
      </c>
      <c r="B4" s="3" t="s">
        <v>23</v>
      </c>
    </row>
    <row r="5">
      <c r="A5" s="3" t="s">
        <v>13</v>
      </c>
      <c r="B5" s="3" t="s">
        <v>24</v>
      </c>
    </row>
    <row r="6">
      <c r="A6" s="3" t="s">
        <v>15</v>
      </c>
      <c r="B6" s="3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18">
      <c r="A18" s="1"/>
      <c r="B18" s="1"/>
    </row>
    <row r="19">
      <c r="B19" s="6" t="s">
        <v>27</v>
      </c>
    </row>
    <row r="20">
      <c r="B20" s="3" t="s">
        <v>28</v>
      </c>
    </row>
    <row r="21">
      <c r="B21" s="3" t="s">
        <v>29</v>
      </c>
    </row>
    <row r="22">
      <c r="B22" s="3" t="s">
        <v>30</v>
      </c>
    </row>
    <row r="23">
      <c r="B23" s="3" t="s">
        <v>31</v>
      </c>
    </row>
    <row r="24">
      <c r="B24" s="3" t="s">
        <v>32</v>
      </c>
    </row>
    <row r="27">
      <c r="A27" s="1"/>
      <c r="B27" s="1"/>
    </row>
    <row r="28">
      <c r="B28" s="7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23">
      <c r="B23" s="6" t="s">
        <v>27</v>
      </c>
    </row>
    <row r="25">
      <c r="B25" s="8" t="s">
        <v>33</v>
      </c>
    </row>
    <row r="26">
      <c r="B26" s="8" t="s">
        <v>34</v>
      </c>
    </row>
    <row r="27">
      <c r="B27" s="8" t="s">
        <v>35</v>
      </c>
    </row>
    <row r="28">
      <c r="B28" s="8" t="s">
        <v>36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14">
      <c r="C14" s="6" t="s">
        <v>37</v>
      </c>
    </row>
    <row r="15">
      <c r="B15" s="6"/>
    </row>
    <row r="16">
      <c r="C16" s="8" t="s">
        <v>38</v>
      </c>
    </row>
    <row r="17">
      <c r="B17" s="6"/>
    </row>
    <row r="18">
      <c r="B18" s="8"/>
      <c r="C18" s="8" t="s">
        <v>39</v>
      </c>
    </row>
    <row r="19">
      <c r="B19" s="8"/>
    </row>
    <row r="20">
      <c r="C20" s="8" t="s">
        <v>40</v>
      </c>
    </row>
    <row r="23">
      <c r="B23" s="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41</v>
      </c>
      <c r="B1" s="10"/>
      <c r="D1" s="11" t="s">
        <v>42</v>
      </c>
      <c r="E1" s="10"/>
      <c r="G1" s="11" t="s">
        <v>43</v>
      </c>
      <c r="H1" s="10"/>
    </row>
    <row r="2">
      <c r="A2" s="12">
        <f>SUM(Orders!D2:D31)</f>
        <v>432200</v>
      </c>
      <c r="B2" s="10"/>
      <c r="D2" s="13">
        <f>COUNTA(Orders!A2:A31)</f>
        <v>30</v>
      </c>
      <c r="E2" s="10"/>
      <c r="G2" s="13">
        <f>IFERROR(__xludf.DUMMYFUNCTION("COUNTUNIQUE(Orders!C2:C31)"),5.0)</f>
        <v>5</v>
      </c>
      <c r="H2" s="10"/>
    </row>
    <row r="9">
      <c r="A9" s="14" t="s">
        <v>44</v>
      </c>
      <c r="F9" s="14" t="s">
        <v>45</v>
      </c>
      <c r="K9" s="7" t="s">
        <v>46</v>
      </c>
    </row>
  </sheetData>
  <mergeCells count="7">
    <mergeCell ref="A1:B1"/>
    <mergeCell ref="D1:E1"/>
    <mergeCell ref="G1:H1"/>
    <mergeCell ref="A2:B2"/>
    <mergeCell ref="D2:E2"/>
    <mergeCell ref="G2:H2"/>
    <mergeCell ref="A9:B9"/>
  </mergeCells>
  <drawing r:id="rId1"/>
</worksheet>
</file>